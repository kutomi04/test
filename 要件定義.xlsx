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well-C108\Desktop\project\"/>
    </mc:Choice>
  </mc:AlternateContent>
  <xr:revisionPtr revIDLastSave="0" documentId="13_ncr:1_{C7C14423-51FE-4442-986E-9D8BF343641A}" xr6:coauthVersionLast="47" xr6:coauthVersionMax="47" xr10:uidLastSave="{00000000-0000-0000-0000-000000000000}"/>
  <bookViews>
    <workbookView xWindow="-110" yWindow="-110" windowWidth="19420" windowHeight="11500" activeTab="4" xr2:uid="{0872306B-905B-48AE-BA14-0D918F80446E}"/>
  </bookViews>
  <sheets>
    <sheet name="基本要件" sheetId="1" r:id="rId1"/>
    <sheet name="機能要件" sheetId="2" r:id="rId2"/>
    <sheet name="非機能要件" sheetId="3" r:id="rId3"/>
    <sheet name="スケジュール" sheetId="4" r:id="rId4"/>
    <sheet name="Sheet2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0" i="4" l="1"/>
  <c r="H20" i="4" s="1"/>
  <c r="G18" i="4"/>
  <c r="G16" i="4"/>
  <c r="G14" i="4"/>
</calcChain>
</file>

<file path=xl/sharedStrings.xml><?xml version="1.0" encoding="utf-8"?>
<sst xmlns="http://schemas.openxmlformats.org/spreadsheetml/2006/main" count="87" uniqueCount="85">
  <si>
    <t>顧客管理システム</t>
  </si>
  <si>
    <t>システム導入の背景・目的</t>
  </si>
  <si>
    <t>システムの概要</t>
  </si>
  <si>
    <t>業務要件</t>
  </si>
  <si>
    <t>システム要件</t>
  </si>
  <si>
    <t>機能要件</t>
  </si>
  <si>
    <t>・システムに必要な機能（例：ログインなど）</t>
  </si>
  <si>
    <t>非機能要件</t>
  </si>
  <si>
    <t>技術要件</t>
  </si>
  <si>
    <t>制約条件</t>
  </si>
  <si>
    <t>・現状の課題</t>
    <rPh sb="1" eb="3">
      <t>ゲンジョウ</t>
    </rPh>
    <rPh sb="4" eb="6">
      <t>カダイ</t>
    </rPh>
    <phoneticPr fontId="1"/>
  </si>
  <si>
    <t xml:space="preserve"> 顧客データの一元管理により、営業効率の向上と成約率の改善を図る。</t>
  </si>
  <si>
    <t>・導入の目的</t>
    <phoneticPr fontId="1"/>
  </si>
  <si>
    <t>Excelでの管理が限界を迎え、最新の顧客情報が共有されていない。</t>
  </si>
  <si>
    <t>・システムの範囲　</t>
    <phoneticPr fontId="1"/>
  </si>
  <si>
    <t>・主な機能や構成</t>
    <phoneticPr fontId="1"/>
  </si>
  <si>
    <t>全営業部およびカスタマーサポート部門が利用するWebシステム。</t>
  </si>
  <si>
    <t>PCブラウザからの利用をメインとし、外出先からはスマートフォンでの閲覧を可能とする。</t>
  </si>
  <si>
    <t>・業務フロー</t>
    <phoneticPr fontId="1"/>
  </si>
  <si>
    <t>・対象業務の説明</t>
    <phoneticPr fontId="1"/>
  </si>
  <si>
    <t>営業担当が訪問後に商談内容を入力。マネージャーがリアルタイムで進捗を確認し、アドバイスを行う。</t>
    <phoneticPr fontId="1"/>
  </si>
  <si>
    <t>マネージャーがリアルタイムで進捗を確認し、アドバイスを行う。</t>
  </si>
  <si>
    <t>・開発言語　DB　</t>
    <phoneticPr fontId="1"/>
  </si>
  <si>
    <t>・インフラ</t>
    <phoneticPr fontId="1"/>
  </si>
  <si>
    <t>クラウドサービス（AWSやAzureなど）を利用し、スケーラビリティを確保。</t>
    <phoneticPr fontId="1"/>
  </si>
  <si>
    <t>・セキュリティ、性能、、保守性など</t>
    <phoneticPr fontId="1"/>
  </si>
  <si>
    <t>・可用性</t>
    <phoneticPr fontId="1"/>
  </si>
  <si>
    <t>・応答性能</t>
    <rPh sb="1" eb="3">
      <t>オウトウ</t>
    </rPh>
    <rPh sb="3" eb="5">
      <t>セイノウ</t>
    </rPh>
    <phoneticPr fontId="1"/>
  </si>
  <si>
    <t>検索ボタン押下後、3秒以内に結果を表示すること。</t>
    <phoneticPr fontId="1"/>
  </si>
  <si>
    <t>SSL通信による暗号化。</t>
  </si>
  <si>
    <t>・予算　、人員配置など</t>
    <phoneticPr fontId="1"/>
  </si>
  <si>
    <t>スケジュール</t>
    <phoneticPr fontId="1"/>
  </si>
  <si>
    <t>108時間</t>
    <rPh sb="3" eb="5">
      <t>ジカン</t>
    </rPh>
    <phoneticPr fontId="1"/>
  </si>
  <si>
    <t>React / PHP / SQLite</t>
    <phoneticPr fontId="1"/>
  </si>
  <si>
    <t>・開発対象　　　ユーザーインターフェース</t>
    <rPh sb="1" eb="3">
      <t>カイハツ</t>
    </rPh>
    <rPh sb="3" eb="5">
      <t>タイショウ</t>
    </rPh>
    <phoneticPr fontId="1"/>
  </si>
  <si>
    <t>React、 HTML5、 CSS3 、JavaScript</t>
    <phoneticPr fontId="1"/>
  </si>
  <si>
    <t>データ処理</t>
    <phoneticPr fontId="1"/>
  </si>
  <si>
    <t>PHP（REST API）、 SQLite</t>
    <phoneticPr fontId="1"/>
  </si>
  <si>
    <t>Git / GitHub、 VS Code、 Chrome DevTools</t>
    <phoneticPr fontId="1"/>
  </si>
  <si>
    <t>開発基盤</t>
    <rPh sb="0" eb="2">
      <t>カイハツ</t>
    </rPh>
    <rPh sb="2" eb="4">
      <t>キバン</t>
    </rPh>
    <phoneticPr fontId="1"/>
  </si>
  <si>
    <t>ログイン機能、顧客登録機能、顧客一覧表示機能、顧客検索機能、顧客編集機能、顧客削除機能、入力バリテーション</t>
    <rPh sb="4" eb="6">
      <t>キノウ</t>
    </rPh>
    <rPh sb="7" eb="9">
      <t>コキャク</t>
    </rPh>
    <rPh sb="9" eb="11">
      <t>トウロク</t>
    </rPh>
    <rPh sb="11" eb="13">
      <t>キノウ</t>
    </rPh>
    <rPh sb="14" eb="16">
      <t>コキャク</t>
    </rPh>
    <rPh sb="16" eb="18">
      <t>イチラン</t>
    </rPh>
    <rPh sb="18" eb="20">
      <t>ヒョウジ</t>
    </rPh>
    <rPh sb="20" eb="22">
      <t>キノウ</t>
    </rPh>
    <rPh sb="23" eb="25">
      <t>コキャク</t>
    </rPh>
    <rPh sb="25" eb="27">
      <t>ケンサク</t>
    </rPh>
    <rPh sb="27" eb="29">
      <t>キノウ</t>
    </rPh>
    <rPh sb="30" eb="32">
      <t>コキャク</t>
    </rPh>
    <rPh sb="32" eb="34">
      <t>ヘンシュウ</t>
    </rPh>
    <rPh sb="34" eb="36">
      <t>キノウ</t>
    </rPh>
    <rPh sb="37" eb="39">
      <t>コキャク</t>
    </rPh>
    <rPh sb="39" eb="41">
      <t>サクジョ</t>
    </rPh>
    <rPh sb="41" eb="43">
      <t>キノウ</t>
    </rPh>
    <rPh sb="44" eb="46">
      <t>ニュウリョク</t>
    </rPh>
    <phoneticPr fontId="1"/>
  </si>
  <si>
    <t>「平日 9:00〜21:00」仕事時間内</t>
    <rPh sb="15" eb="17">
      <t>シゴト</t>
    </rPh>
    <rPh sb="17" eb="19">
      <t>ジカン</t>
    </rPh>
    <rPh sb="19" eb="20">
      <t>ナイ</t>
    </rPh>
    <phoneticPr fontId="1"/>
  </si>
  <si>
    <t>・使用ＯＳ，</t>
    <phoneticPr fontId="1"/>
  </si>
  <si>
    <t>・ネットワーク条件</t>
    <phoneticPr fontId="1"/>
  </si>
  <si>
    <t>Windows 10/11,</t>
    <phoneticPr fontId="1"/>
  </si>
  <si>
    <t>・ブラウザ</t>
    <phoneticPr fontId="1"/>
  </si>
  <si>
    <t>HTTPSによる暗号化通信が必須条件。</t>
    <phoneticPr fontId="1"/>
  </si>
  <si>
    <t>C</t>
    <phoneticPr fontId="1"/>
  </si>
  <si>
    <t>R</t>
    <phoneticPr fontId="1"/>
  </si>
  <si>
    <t>U</t>
    <phoneticPr fontId="1"/>
  </si>
  <si>
    <t>D</t>
    <phoneticPr fontId="1"/>
  </si>
  <si>
    <t>Create</t>
    <phoneticPr fontId="1"/>
  </si>
  <si>
    <t>作成</t>
    <rPh sb="0" eb="2">
      <t>サクセイ</t>
    </rPh>
    <phoneticPr fontId="1"/>
  </si>
  <si>
    <t>Read</t>
  </si>
  <si>
    <t>参照</t>
    <rPh sb="0" eb="2">
      <t>サンショウ</t>
    </rPh>
    <phoneticPr fontId="1"/>
  </si>
  <si>
    <t>Update</t>
  </si>
  <si>
    <t>更新</t>
    <rPh sb="0" eb="2">
      <t>コウシン</t>
    </rPh>
    <phoneticPr fontId="1"/>
  </si>
  <si>
    <t>Delete</t>
  </si>
  <si>
    <t>削除</t>
    <rPh sb="0" eb="2">
      <t>サクジョ</t>
    </rPh>
    <phoneticPr fontId="1"/>
  </si>
  <si>
    <t>合計</t>
    <rPh sb="0" eb="2">
      <t>ゴウケイ</t>
    </rPh>
    <phoneticPr fontId="1"/>
  </si>
  <si>
    <t>小合計</t>
    <rPh sb="0" eb="1">
      <t>ショウ</t>
    </rPh>
    <rPh sb="1" eb="3">
      <t>ゴウケイ</t>
    </rPh>
    <phoneticPr fontId="1"/>
  </si>
  <si>
    <t>小合計</t>
    <rPh sb="0" eb="3">
      <t>ショウゴウケイ</t>
    </rPh>
    <phoneticPr fontId="1"/>
  </si>
  <si>
    <t>お客様名前：azwell保育園　　 商談相手：保育園　園長先生</t>
    <rPh sb="1" eb="3">
      <t>キャクサマ</t>
    </rPh>
    <rPh sb="3" eb="5">
      <t>ナマエ</t>
    </rPh>
    <rPh sb="12" eb="15">
      <t>ホイクエン</t>
    </rPh>
    <rPh sb="18" eb="20">
      <t>ショウダン</t>
    </rPh>
    <rPh sb="20" eb="22">
      <t>アイテ</t>
    </rPh>
    <rPh sb="23" eb="26">
      <t>ホイクエン</t>
    </rPh>
    <rPh sb="27" eb="29">
      <t>エンチョウ</t>
    </rPh>
    <rPh sb="29" eb="31">
      <t>センセイ</t>
    </rPh>
    <phoneticPr fontId="1"/>
  </si>
  <si>
    <t>1. シンプルなビジネスモデル設定</t>
  </si>
  <si>
    <r>
      <t>商品：</t>
    </r>
    <r>
      <rPr>
        <sz val="11"/>
        <color theme="1"/>
        <rFont val="游ゴシック"/>
        <family val="2"/>
        <charset val="128"/>
        <scheme val="minor"/>
      </rPr>
      <t xml:space="preserve"> おむつ（S/M/L）、おしりふき、除菌シートの3種類のみ。</t>
    </r>
  </si>
  <si>
    <r>
      <t>顧客（B）：</t>
    </r>
    <r>
      <rPr>
        <sz val="11"/>
        <color theme="1"/>
        <rFont val="游ゴシック"/>
        <family val="2"/>
        <charset val="128"/>
        <scheme val="minor"/>
      </rPr>
      <t xml:space="preserve"> 地元の小規模保育園。</t>
    </r>
  </si>
  <si>
    <r>
      <t>サービス：</t>
    </r>
    <r>
      <rPr>
        <sz val="11"/>
        <color theme="1"/>
        <rFont val="游ゴシック"/>
        <family val="2"/>
        <charset val="128"/>
        <scheme val="minor"/>
      </rPr>
      <t xml:space="preserve"> 毎月定額、または使った分だけ納品するシンプルな契約。</t>
    </r>
  </si>
  <si>
    <t>2. データベースの構成（最小限のカラム）</t>
  </si>
  <si>
    <t>機能を「簡単」にするために、テーブルのカラム（項目）を必要最低限に絞ります。</t>
  </si>
  <si>
    <r>
      <t>customers</t>
    </r>
    <r>
      <rPr>
        <b/>
        <sz val="11"/>
        <color theme="1"/>
        <rFont val="游ゴシック"/>
        <family val="3"/>
        <charset val="128"/>
        <scheme val="minor"/>
      </rPr>
      <t>（保育園）テーブル</t>
    </r>
  </si>
  <si>
    <r>
      <t>id</t>
    </r>
    <r>
      <rPr>
        <sz val="11"/>
        <color theme="1"/>
        <rFont val="游ゴシック"/>
        <family val="2"/>
        <charset val="128"/>
        <scheme val="minor"/>
      </rPr>
      <t xml:space="preserve"> : ID</t>
    </r>
  </si>
  <si>
    <r>
      <t>name</t>
    </r>
    <r>
      <rPr>
        <sz val="11"/>
        <color theme="1"/>
        <rFont val="游ゴシック"/>
        <family val="2"/>
        <charset val="128"/>
        <scheme val="minor"/>
      </rPr>
      <t xml:space="preserve"> : 園名</t>
    </r>
  </si>
  <si>
    <r>
      <t>child_count</t>
    </r>
    <r>
      <rPr>
        <sz val="11"/>
        <color theme="1"/>
        <rFont val="游ゴシック"/>
        <family val="2"/>
        <charset val="128"/>
        <scheme val="minor"/>
      </rPr>
      <t xml:space="preserve"> : 園児数（おむつの消費スピードを予測するのに使います）</t>
    </r>
  </si>
  <si>
    <r>
      <t>address</t>
    </r>
    <r>
      <rPr>
        <sz val="11"/>
        <color theme="1"/>
        <rFont val="游ゴシック"/>
        <family val="2"/>
        <charset val="128"/>
        <scheme val="minor"/>
      </rPr>
      <t xml:space="preserve"> : 住所</t>
    </r>
  </si>
  <si>
    <r>
      <t>status</t>
    </r>
    <r>
      <rPr>
        <sz val="11"/>
        <color theme="1"/>
        <rFont val="游ゴシック"/>
        <family val="2"/>
        <charset val="128"/>
        <scheme val="minor"/>
      </rPr>
      <t xml:space="preserve"> : 状況（「契約中」「商談中」の2択にする）</t>
    </r>
  </si>
  <si>
    <r>
      <t>items</t>
    </r>
    <r>
      <rPr>
        <b/>
        <sz val="11"/>
        <color theme="1"/>
        <rFont val="游ゴシック"/>
        <family val="3"/>
        <charset val="128"/>
        <scheme val="minor"/>
      </rPr>
      <t>（商品）テーブル</t>
    </r>
  </si>
  <si>
    <r>
      <t>name</t>
    </r>
    <r>
      <rPr>
        <sz val="11"/>
        <color theme="1"/>
        <rFont val="游ゴシック"/>
        <family val="2"/>
        <charset val="128"/>
        <scheme val="minor"/>
      </rPr>
      <t xml:space="preserve"> : 商品名（おむつLサイズ、など）</t>
    </r>
  </si>
  <si>
    <r>
      <t>stock</t>
    </r>
    <r>
      <rPr>
        <sz val="11"/>
        <color theme="1"/>
        <rFont val="游ゴシック"/>
        <family val="2"/>
        <charset val="128"/>
        <scheme val="minor"/>
      </rPr>
      <t xml:space="preserve"> : 自社在庫数</t>
    </r>
  </si>
  <si>
    <r>
      <t>price</t>
    </r>
    <r>
      <rPr>
        <sz val="11"/>
        <color theme="1"/>
        <rFont val="游ゴシック"/>
        <family val="2"/>
        <charset val="128"/>
        <scheme val="minor"/>
      </rPr>
      <t xml:space="preserve"> : 単価</t>
    </r>
  </si>
  <si>
    <t>3. パワーアップ機能（ここだけこだわる！）</t>
  </si>
  <si>
    <r>
      <t>機能を減らす代わりに、以下の</t>
    </r>
    <r>
      <rPr>
        <b/>
        <sz val="11"/>
        <color theme="1"/>
        <rFont val="游ゴシック"/>
        <family val="3"/>
        <charset val="128"/>
        <scheme val="minor"/>
      </rPr>
      <t>1点だけ</t>
    </r>
    <r>
      <rPr>
        <sz val="11"/>
        <color theme="1"/>
        <rFont val="游ゴシック"/>
        <family val="2"/>
        <charset val="128"/>
        <scheme val="minor"/>
      </rPr>
      <t>を「自動計算」でパワーアップさせます。</t>
    </r>
  </si>
  <si>
    <t>「そろそろ注文が来るはず」予測機能</t>
  </si>
  <si>
    <r>
      <t>計算式：</t>
    </r>
    <r>
      <rPr>
        <sz val="10"/>
        <color theme="1"/>
        <rFont val="Arial Unicode MS"/>
        <family val="2"/>
      </rPr>
      <t>園児数</t>
    </r>
    <r>
      <rPr>
        <sz val="11"/>
        <color theme="1"/>
        <rFont val="游ゴシック"/>
        <family val="2"/>
        <charset val="128"/>
        <scheme val="minor"/>
      </rPr>
      <t xml:space="preserve"> × </t>
    </r>
    <r>
      <rPr>
        <sz val="10"/>
        <color theme="1"/>
        <rFont val="Arial Unicode MS"/>
        <family val="2"/>
      </rPr>
      <t>1日5枚</t>
    </r>
    <r>
      <rPr>
        <sz val="11"/>
        <color theme="1"/>
        <rFont val="游ゴシック"/>
        <family val="2"/>
        <charset val="128"/>
        <scheme val="minor"/>
      </rPr>
      <t xml:space="preserve"> × </t>
    </r>
    <r>
      <rPr>
        <sz val="10"/>
        <color theme="1"/>
        <rFont val="Arial Unicode MS"/>
        <family val="2"/>
      </rPr>
      <t>30日</t>
    </r>
  </si>
  <si>
    <t>前回の納品日から計算して、在庫が切れそうな園を一覧で「要連絡」と赤く表示させる。</t>
  </si>
  <si>
    <t>これがあるだけで、営業マンにとって「今日どこに電話すべきか」がすぐわかる便利なシステムになります。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</si>
</sst>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3.5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56" fontId="0" fillId="0" borderId="0" xfId="0" applyNumberForma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5" fillId="0" borderId="0" xfId="0" applyFont="1">
      <alignment vertical="center"/>
    </xf>
    <xf numFmtId="0" fontId="4" fillId="0" borderId="0" xfId="0" applyFont="1" applyAlignment="1">
      <alignment horizontal="left" vertical="center" inden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6640</xdr:colOff>
      <xdr:row>24</xdr:row>
      <xdr:rowOff>95537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8EBA59A-6184-A20D-4E33-E7A3EB23B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645440" cy="5581937"/>
        </a:xfrm>
        <a:prstGeom prst="rect">
          <a:avLst/>
        </a:prstGeom>
      </xdr:spPr>
    </xdr:pic>
    <xdr:clientData/>
  </xdr:twoCellAnchor>
  <xdr:twoCellAnchor editAs="oneCell">
    <xdr:from>
      <xdr:col>6</xdr:col>
      <xdr:colOff>635000</xdr:colOff>
      <xdr:row>5</xdr:row>
      <xdr:rowOff>171450</xdr:rowOff>
    </xdr:from>
    <xdr:to>
      <xdr:col>14</xdr:col>
      <xdr:colOff>597170</xdr:colOff>
      <xdr:row>20</xdr:row>
      <xdr:rowOff>177977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56A81905-CE4D-9435-D333-C5F7C9853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13400" y="1314450"/>
          <a:ext cx="5245370" cy="34355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482862</xdr:colOff>
      <xdr:row>11</xdr:row>
      <xdr:rowOff>133486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69658A9-B57B-F454-68B5-B40A46458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105662" cy="26480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647A0-9CA2-4D44-A374-562CD10F84A3}">
  <dimension ref="A1:B29"/>
  <sheetViews>
    <sheetView workbookViewId="0">
      <selection activeCell="B14" sqref="B14"/>
    </sheetView>
  </sheetViews>
  <sheetFormatPr defaultRowHeight="18"/>
  <cols>
    <col min="1" max="1" width="47.6640625" bestFit="1" customWidth="1"/>
    <col min="2" max="2" width="104.58203125" bestFit="1" customWidth="1"/>
  </cols>
  <sheetData>
    <row r="1" spans="1:2">
      <c r="A1" t="s">
        <v>0</v>
      </c>
      <c r="B1" t="s">
        <v>62</v>
      </c>
    </row>
    <row r="2" spans="1:2">
      <c r="A2" s="1" t="s">
        <v>1</v>
      </c>
    </row>
    <row r="3" spans="1:2">
      <c r="A3" t="s">
        <v>10</v>
      </c>
      <c r="B3" t="s">
        <v>13</v>
      </c>
    </row>
    <row r="4" spans="1:2">
      <c r="A4" t="s">
        <v>12</v>
      </c>
      <c r="B4" t="s">
        <v>11</v>
      </c>
    </row>
    <row r="5" spans="1:2">
      <c r="A5" s="1" t="s">
        <v>2</v>
      </c>
    </row>
    <row r="6" spans="1:2">
      <c r="A6" t="s">
        <v>14</v>
      </c>
      <c r="B6" t="s">
        <v>16</v>
      </c>
    </row>
    <row r="7" spans="1:2">
      <c r="A7" t="s">
        <v>15</v>
      </c>
      <c r="B7" t="s">
        <v>17</v>
      </c>
    </row>
    <row r="8" spans="1:2">
      <c r="A8" s="1" t="s">
        <v>3</v>
      </c>
    </row>
    <row r="9" spans="1:2">
      <c r="A9" t="s">
        <v>19</v>
      </c>
      <c r="B9" t="s">
        <v>21</v>
      </c>
    </row>
    <row r="10" spans="1:2">
      <c r="A10" t="s">
        <v>18</v>
      </c>
      <c r="B10" t="s">
        <v>20</v>
      </c>
    </row>
    <row r="11" spans="1:2">
      <c r="A11" s="1" t="s">
        <v>4</v>
      </c>
    </row>
    <row r="12" spans="1:2">
      <c r="A12" t="s">
        <v>22</v>
      </c>
      <c r="B12" t="s">
        <v>33</v>
      </c>
    </row>
    <row r="13" spans="1:2">
      <c r="A13" t="s">
        <v>23</v>
      </c>
      <c r="B13" t="s">
        <v>24</v>
      </c>
    </row>
    <row r="14" spans="1:2">
      <c r="A14" t="s">
        <v>34</v>
      </c>
      <c r="B14" t="s">
        <v>35</v>
      </c>
    </row>
    <row r="15" spans="1:2">
      <c r="A15" s="2" t="s">
        <v>36</v>
      </c>
      <c r="B15" t="s">
        <v>37</v>
      </c>
    </row>
    <row r="16" spans="1:2">
      <c r="A16" s="2" t="s">
        <v>39</v>
      </c>
      <c r="B16" t="s">
        <v>38</v>
      </c>
    </row>
    <row r="17" spans="1:2">
      <c r="A17" s="1" t="s">
        <v>5</v>
      </c>
    </row>
    <row r="18" spans="1:2">
      <c r="A18" t="s">
        <v>6</v>
      </c>
      <c r="B18" t="s">
        <v>40</v>
      </c>
    </row>
    <row r="19" spans="1:2">
      <c r="A19" s="1" t="s">
        <v>7</v>
      </c>
    </row>
    <row r="20" spans="1:2">
      <c r="A20" t="s">
        <v>25</v>
      </c>
      <c r="B20" t="s">
        <v>29</v>
      </c>
    </row>
    <row r="21" spans="1:2">
      <c r="A21" t="s">
        <v>26</v>
      </c>
      <c r="B21" t="s">
        <v>41</v>
      </c>
    </row>
    <row r="22" spans="1:2">
      <c r="A22" t="s">
        <v>27</v>
      </c>
      <c r="B22" t="s">
        <v>28</v>
      </c>
    </row>
    <row r="23" spans="1:2">
      <c r="A23" s="1" t="s">
        <v>8</v>
      </c>
    </row>
    <row r="24" spans="1:2">
      <c r="A24" t="s">
        <v>42</v>
      </c>
      <c r="B24" t="s">
        <v>44</v>
      </c>
    </row>
    <row r="25" spans="1:2">
      <c r="A25" t="s">
        <v>45</v>
      </c>
    </row>
    <row r="26" spans="1:2">
      <c r="A26" t="s">
        <v>43</v>
      </c>
      <c r="B26" t="s">
        <v>46</v>
      </c>
    </row>
    <row r="27" spans="1:2">
      <c r="A27" s="1" t="s">
        <v>9</v>
      </c>
    </row>
    <row r="28" spans="1:2">
      <c r="A28" t="s">
        <v>30</v>
      </c>
    </row>
    <row r="29" spans="1:2">
      <c r="A29" t="s">
        <v>31</v>
      </c>
      <c r="B29" t="s">
        <v>32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46E5D-6651-4631-BAE0-2C3E448E0D98}">
  <dimension ref="I2:K5"/>
  <sheetViews>
    <sheetView workbookViewId="0">
      <selection activeCell="P13" sqref="P13"/>
    </sheetView>
  </sheetViews>
  <sheetFormatPr defaultRowHeight="18"/>
  <cols>
    <col min="1" max="1" width="22" bestFit="1" customWidth="1"/>
  </cols>
  <sheetData>
    <row r="2" spans="9:11">
      <c r="I2" t="s">
        <v>47</v>
      </c>
      <c r="J2" t="s">
        <v>51</v>
      </c>
      <c r="K2" t="s">
        <v>52</v>
      </c>
    </row>
    <row r="3" spans="9:11">
      <c r="I3" t="s">
        <v>48</v>
      </c>
      <c r="J3" t="s">
        <v>53</v>
      </c>
      <c r="K3" t="s">
        <v>54</v>
      </c>
    </row>
    <row r="4" spans="9:11">
      <c r="I4" t="s">
        <v>49</v>
      </c>
      <c r="J4" t="s">
        <v>55</v>
      </c>
      <c r="K4" t="s">
        <v>56</v>
      </c>
    </row>
    <row r="5" spans="9:11">
      <c r="I5" t="s">
        <v>50</v>
      </c>
      <c r="J5" t="s">
        <v>57</v>
      </c>
      <c r="K5" t="s">
        <v>58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33224-D872-4A0A-A1FC-926FDF87CF23}">
  <dimension ref="A1"/>
  <sheetViews>
    <sheetView workbookViewId="0">
      <selection activeCell="A2" sqref="A2"/>
    </sheetView>
  </sheetViews>
  <sheetFormatPr defaultRowHeight="18"/>
  <sheetData/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0343B-1B14-4A3D-BBE0-F87243369A9F}">
  <dimension ref="A13:H20"/>
  <sheetViews>
    <sheetView workbookViewId="0">
      <selection activeCell="C21" sqref="C21"/>
    </sheetView>
  </sheetViews>
  <sheetFormatPr defaultRowHeight="18"/>
  <sheetData>
    <row r="13" spans="1:7">
      <c r="A13" s="3">
        <v>46139</v>
      </c>
      <c r="B13" s="3">
        <v>46140</v>
      </c>
      <c r="C13" s="3">
        <v>46142</v>
      </c>
      <c r="D13" s="3">
        <v>46143</v>
      </c>
      <c r="E13" s="3">
        <v>46149</v>
      </c>
      <c r="F13" s="3">
        <v>46150</v>
      </c>
      <c r="G13" t="s">
        <v>60</v>
      </c>
    </row>
    <row r="14" spans="1:7">
      <c r="A14">
        <v>6</v>
      </c>
      <c r="B14" s="1">
        <v>6</v>
      </c>
      <c r="C14">
        <v>6</v>
      </c>
      <c r="D14">
        <v>6</v>
      </c>
      <c r="E14">
        <v>6</v>
      </c>
      <c r="F14">
        <v>3</v>
      </c>
      <c r="G14">
        <f>SUM(A14:F14)</f>
        <v>33</v>
      </c>
    </row>
    <row r="15" spans="1:7">
      <c r="A15" s="3">
        <v>46153</v>
      </c>
      <c r="B15" s="3">
        <v>46154</v>
      </c>
      <c r="C15" s="3">
        <v>46155</v>
      </c>
      <c r="D15" s="3">
        <v>46156</v>
      </c>
      <c r="E15" s="3">
        <v>46157</v>
      </c>
      <c r="F15" s="3"/>
      <c r="G15" t="s">
        <v>61</v>
      </c>
    </row>
    <row r="16" spans="1:7">
      <c r="A16" s="1">
        <v>6</v>
      </c>
      <c r="B16">
        <v>6</v>
      </c>
      <c r="C16">
        <v>6</v>
      </c>
      <c r="D16">
        <v>6</v>
      </c>
      <c r="E16">
        <v>6</v>
      </c>
      <c r="G16">
        <f>SUM(A16:F16)</f>
        <v>30</v>
      </c>
    </row>
    <row r="17" spans="1:8">
      <c r="A17" s="3">
        <v>46160</v>
      </c>
      <c r="B17" s="3">
        <v>46161</v>
      </c>
      <c r="C17" s="3">
        <v>46162</v>
      </c>
      <c r="D17" s="3">
        <v>46163</v>
      </c>
      <c r="E17" s="3">
        <v>46164</v>
      </c>
    </row>
    <row r="18" spans="1:8">
      <c r="A18" s="1">
        <v>6</v>
      </c>
      <c r="B18">
        <v>6</v>
      </c>
      <c r="C18">
        <v>6</v>
      </c>
      <c r="D18">
        <v>6</v>
      </c>
      <c r="E18" s="1">
        <v>6</v>
      </c>
      <c r="G18">
        <f>SUM(A18:F18)</f>
        <v>30</v>
      </c>
    </row>
    <row r="19" spans="1:8">
      <c r="A19" s="3">
        <v>46167</v>
      </c>
      <c r="B19" s="3">
        <v>46168</v>
      </c>
      <c r="C19" s="3">
        <v>46169</v>
      </c>
      <c r="G19" t="s">
        <v>60</v>
      </c>
      <c r="H19" t="s">
        <v>59</v>
      </c>
    </row>
    <row r="20" spans="1:8">
      <c r="A20">
        <v>6</v>
      </c>
      <c r="B20">
        <v>6</v>
      </c>
      <c r="C20">
        <v>6</v>
      </c>
      <c r="G20">
        <f>SUM(A20:F20)</f>
        <v>18</v>
      </c>
      <c r="H20">
        <f>SUM(G14,G16,G18,G20)</f>
        <v>111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B0886-2141-4FD7-BF5A-C3339D9DC0DF}">
  <dimension ref="A1:A48"/>
  <sheetViews>
    <sheetView tabSelected="1" workbookViewId="0">
      <selection activeCell="L10" sqref="L10"/>
    </sheetView>
  </sheetViews>
  <sheetFormatPr defaultRowHeight="18"/>
  <sheetData>
    <row r="1" spans="1:1" ht="22">
      <c r="A1" s="4" t="s">
        <v>63</v>
      </c>
    </row>
    <row r="2" spans="1:1">
      <c r="A2" s="5"/>
    </row>
    <row r="3" spans="1:1">
      <c r="A3" s="6" t="s">
        <v>64</v>
      </c>
    </row>
    <row r="4" spans="1:1">
      <c r="A4" s="5"/>
    </row>
    <row r="5" spans="1:1">
      <c r="A5" s="6" t="s">
        <v>65</v>
      </c>
    </row>
    <row r="6" spans="1:1">
      <c r="A6" s="5"/>
    </row>
    <row r="7" spans="1:1">
      <c r="A7" s="6" t="s">
        <v>66</v>
      </c>
    </row>
    <row r="11" spans="1:1" ht="22">
      <c r="A11" s="4" t="s">
        <v>67</v>
      </c>
    </row>
    <row r="13" spans="1:1">
      <c r="A13" t="s">
        <v>68</v>
      </c>
    </row>
    <row r="15" spans="1:1">
      <c r="A15" s="8" t="s">
        <v>69</v>
      </c>
    </row>
    <row r="16" spans="1:1">
      <c r="A16" s="5"/>
    </row>
    <row r="17" spans="1:1">
      <c r="A17" s="9" t="s">
        <v>70</v>
      </c>
    </row>
    <row r="18" spans="1:1">
      <c r="A18" s="5"/>
    </row>
    <row r="19" spans="1:1">
      <c r="A19" s="9" t="s">
        <v>71</v>
      </c>
    </row>
    <row r="20" spans="1:1">
      <c r="A20" s="5"/>
    </row>
    <row r="21" spans="1:1">
      <c r="A21" s="9" t="s">
        <v>72</v>
      </c>
    </row>
    <row r="22" spans="1:1">
      <c r="A22" s="5"/>
    </row>
    <row r="23" spans="1:1">
      <c r="A23" s="9" t="s">
        <v>73</v>
      </c>
    </row>
    <row r="24" spans="1:1">
      <c r="A24" s="5"/>
    </row>
    <row r="25" spans="1:1">
      <c r="A25" s="9" t="s">
        <v>74</v>
      </c>
    </row>
    <row r="27" spans="1:1">
      <c r="A27" s="8" t="s">
        <v>75</v>
      </c>
    </row>
    <row r="28" spans="1:1">
      <c r="A28" s="5"/>
    </row>
    <row r="29" spans="1:1">
      <c r="A29" s="9" t="s">
        <v>70</v>
      </c>
    </row>
    <row r="30" spans="1:1">
      <c r="A30" s="5"/>
    </row>
    <row r="31" spans="1:1">
      <c r="A31" s="9" t="s">
        <v>76</v>
      </c>
    </row>
    <row r="32" spans="1:1">
      <c r="A32" s="5"/>
    </row>
    <row r="33" spans="1:1">
      <c r="A33" s="9" t="s">
        <v>77</v>
      </c>
    </row>
    <row r="34" spans="1:1">
      <c r="A34" s="5"/>
    </row>
    <row r="35" spans="1:1">
      <c r="A35" s="9" t="s">
        <v>78</v>
      </c>
    </row>
    <row r="36" spans="1:1" ht="22">
      <c r="A36" s="4" t="s">
        <v>79</v>
      </c>
    </row>
    <row r="38" spans="1:1">
      <c r="A38" t="s">
        <v>80</v>
      </c>
    </row>
    <row r="39" spans="1:1">
      <c r="A39" s="5"/>
    </row>
    <row r="40" spans="1:1">
      <c r="A40" s="6" t="s">
        <v>81</v>
      </c>
    </row>
    <row r="41" spans="1:1">
      <c r="A41" s="5"/>
    </row>
    <row r="42" spans="1:1">
      <c r="A42" s="5"/>
    </row>
    <row r="43" spans="1:1">
      <c r="A43" s="7"/>
    </row>
    <row r="44" spans="1:1">
      <c r="A44" s="7" t="s">
        <v>82</v>
      </c>
    </row>
    <row r="45" spans="1:1">
      <c r="A45" s="7"/>
    </row>
    <row r="46" spans="1:1">
      <c r="A46" s="7" t="s">
        <v>83</v>
      </c>
    </row>
    <row r="47" spans="1:1">
      <c r="A47" s="7"/>
    </row>
    <row r="48" spans="1:1">
      <c r="A48" s="7" t="s">
        <v>84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基本要件</vt:lpstr>
      <vt:lpstr>機能要件</vt:lpstr>
      <vt:lpstr>非機能要件</vt:lpstr>
      <vt:lpstr>スケジュール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貴弘 久富</dc:creator>
  <cp:lastModifiedBy>貴弘 久富</cp:lastModifiedBy>
  <dcterms:created xsi:type="dcterms:W3CDTF">2026-04-28T04:01:19Z</dcterms:created>
  <dcterms:modified xsi:type="dcterms:W3CDTF">2026-04-28T06:04:33Z</dcterms:modified>
</cp:coreProperties>
</file>